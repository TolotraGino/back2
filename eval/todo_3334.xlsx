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2CDE242-BD3D-4DFD-9ABD-C0DC1824BC5E}" xr6:coauthVersionLast="47" xr6:coauthVersionMax="47" xr10:uidLastSave="{00000000-0000-0000-0000-000000000000}"/>
  <bookViews>
    <workbookView xWindow="-108" yWindow="-108" windowWidth="23256" windowHeight="12456" activeTab="4" xr2:uid="{E4AF0F26-33FA-480F-A875-88158D549B93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<sst xmlns="http://schemas.openxmlformats.org/spreadsheetml/2006/main" count="308" uniqueCount="106">
  <si>
    <t>ETU003347</t>
  </si>
  <si>
    <t>Ligne</t>
  </si>
  <si>
    <t>Categorie</t>
  </si>
  <si>
    <t>Module</t>
  </si>
  <si>
    <t>Page</t>
  </si>
  <si>
    <t>Description tache</t>
  </si>
  <si>
    <t>Type</t>
  </si>
  <si>
    <t>Qui</t>
  </si>
  <si>
    <t>Estimation</t>
  </si>
  <si>
    <t>Temps passe</t>
  </si>
  <si>
    <t>Reste a faire</t>
  </si>
  <si>
    <t>Avancement</t>
  </si>
  <si>
    <t>Front-end</t>
  </si>
  <si>
    <t>Auth Client</t>
  </si>
  <si>
    <t>CustomerLogin.jsx</t>
  </si>
  <si>
    <t>UI page connexion client - formulaire email et bouton connexion</t>
  </si>
  <si>
    <t>Affichage</t>
  </si>
  <si>
    <t>Connexion client via API PS /customers filtrage par email</t>
  </si>
  <si>
    <t>Integration</t>
  </si>
  <si>
    <t>Persistance session client localStorage et redirection auto</t>
  </si>
  <si>
    <t>Metier</t>
  </si>
  <si>
    <t>CustomerSelect.jsx</t>
  </si>
  <si>
    <t>Page selection client - liste deroulante mode demo</t>
  </si>
  <si>
    <t>Catalogue</t>
  </si>
  <si>
    <t>Home.jsx</t>
  </si>
  <si>
    <t>UI grille produits - image nom prix TTC et indicateur stock</t>
  </si>
  <si>
    <t>fetchProducts via API PS avec quantite stock disponible</t>
  </si>
  <si>
    <t>Recherche produits par nom et reference - filtre temps reel</t>
  </si>
  <si>
    <t>Detail produit</t>
  </si>
  <si>
    <t>ProductDetail.jsx</t>
  </si>
  <si>
    <t>UI detail produit - image description prix TTC et stock restant</t>
  </si>
  <si>
    <t>Chargement variantes via fetchProductCombinations API PS</t>
  </si>
  <si>
    <t>Ajout panier avec id_attribute correct et verification stock</t>
  </si>
  <si>
    <t>Panier</t>
  </si>
  <si>
    <t>Cart.jsx</t>
  </si>
  <si>
    <t>UI panier - liste articles quantite prix unitaire et sous-total</t>
  </si>
  <si>
    <t>Modification quantite et suppression article en temps reel</t>
  </si>
  <si>
    <t>store/cart.js</t>
  </si>
  <si>
    <t>Store panier localStorage - addToCart updateQty removeFromCart</t>
  </si>
  <si>
    <t>Base</t>
  </si>
  <si>
    <t>Checkout</t>
  </si>
  <si>
    <t>Checkout.jsx</t>
  </si>
  <si>
    <t>UI validation commande - recap client adresse mode paiement</t>
  </si>
  <si>
    <t>Recuperation adresse livraison client via getCustomerAddress PS</t>
  </si>
  <si>
    <t>newapp.js</t>
  </si>
  <si>
    <t>Creation commande PS WebService - creation panier puis order</t>
  </si>
  <si>
    <t>current_state 1 remplace par 11 evite Erreur paiement cashondelivery</t>
  </si>
  <si>
    <t>Mes commandes</t>
  </si>
  <si>
    <t>MyOrders.jsx</t>
  </si>
  <si>
    <t>UI liste commandes client - badge etat date montant TTC</t>
  </si>
  <si>
    <t>fetchAllOrders - suppression sort invalide rejete par API PS</t>
  </si>
  <si>
    <t>Champ payment absent du mapping retour API PS commandes</t>
  </si>
  <si>
    <t>Backoffice</t>
  </si>
  <si>
    <t>Auth Admin</t>
  </si>
  <si>
    <t>AdminLogin.jsx</t>
  </si>
  <si>
    <t>UI login admin - formulaire cle API PS et validation acces</t>
  </si>
  <si>
    <t>store/auth.js</t>
  </si>
  <si>
    <t>Protection routes admin - redirection si non authentifie</t>
  </si>
  <si>
    <t>Tableau de bord</t>
  </si>
  <si>
    <t>AdminDashboard.jsx</t>
  </si>
  <si>
    <t>UI KPIs - cartes total commandes chiffre affaires panier moyen</t>
  </si>
  <si>
    <t>Groupement et calcul CA par jour - tableau tri descendant date</t>
  </si>
  <si>
    <t>KPIs a 0 pendant chargement - setLoading deplace dans finally</t>
  </si>
  <si>
    <t>KPIs bloques sur ... - condition loading &amp;&amp; orders.length===0</t>
  </si>
  <si>
    <t>Gestion commandes</t>
  </si>
  <si>
    <t>AdminOrders.jsx</t>
  </si>
  <si>
    <t>UI tableau commandes - ID reference client total badge etat</t>
  </si>
  <si>
    <t>Modification etat commande via select dropdown et API PS PUT</t>
  </si>
  <si>
    <t>Navigation entre pages admin et bouton deconnexion session</t>
  </si>
  <si>
    <t>Stock</t>
  </si>
  <si>
    <t>AdminStock.jsx</t>
  </si>
  <si>
    <t>UI liste produits avec badge stock actuel et champ quantite ajout</t>
  </si>
  <si>
    <t>Ajout stock via API stock_availables PUT avec validation saisie</t>
  </si>
  <si>
    <t>Evolution journaliere mouvements stock entrees sorties cumul</t>
  </si>
  <si>
    <t>Recherche produit par nom ou reference - filtre useMemo</t>
  </si>
  <si>
    <t>Import CSV</t>
  </si>
  <si>
    <t>AdminImport.jsx</t>
  </si>
  <si>
    <t>UI upload trois CSV avec apercu lignes et log progression</t>
  </si>
  <si>
    <t>Parsing CSV fichier1 produits - mapping colonnes et validation</t>
  </si>
  <si>
    <t>Import produits PS - POST product avec prix categorie et TVA</t>
  </si>
  <si>
    <t>Import variantes fichier2 - combinaisons et attributs via API PS</t>
  </si>
  <si>
    <t>Import clients et adresses fichier3 - POST customers addresses</t>
  </si>
  <si>
    <t>Import commandes fichier3 - creation panier cart_row et order</t>
  </si>
  <si>
    <t>Total commandes en HT au lieu de TTC - dashboard lit tax_incl</t>
  </si>
  <si>
    <t>Cache refMap step1 - produits et prix evite doublons appels API</t>
  </si>
  <si>
    <t>Cache variantPriceMap - prix TTC variants step1 avant commandes</t>
  </si>
  <si>
    <t>Cache variantCombMap - ID combination PS pour remplir panier</t>
  </si>
  <si>
    <t>Taux TVA corriges - groupe PS 1=20pct groupe 2=10pct pas fichier1</t>
  </si>
  <si>
    <t>Date commande CSV - GET puis PUT apres POST PS ignore date_add</t>
  </si>
  <si>
    <t>findOrCreateCategory - creation categorie PS depuis colonne CSV</t>
  </si>
  <si>
    <t>Total</t>
  </si>
  <si>
    <t>SUM of Estimation</t>
  </si>
  <si>
    <t>SUM of Temps passe</t>
  </si>
  <si>
    <t>SUM of Reste a faire</t>
  </si>
  <si>
    <t>Total general</t>
  </si>
  <si>
    <t>97,09%</t>
  </si>
  <si>
    <t>estimation total</t>
  </si>
  <si>
    <t>temps passe total</t>
  </si>
  <si>
    <t>reste a faire total</t>
  </si>
  <si>
    <t>avancement</t>
  </si>
  <si>
    <t>depassement</t>
  </si>
  <si>
    <t>heure</t>
  </si>
  <si>
    <t>26/1</t>
  </si>
  <si>
    <t>27/1</t>
  </si>
  <si>
    <t>ETU003654</t>
  </si>
  <si>
    <t>Anjaratiana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</si>
</sst>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.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AC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ED7B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AEF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9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4" fillId="6" borderId="0" xfId="0" applyFont="1" applyFill="1"/>
    <xf numFmtId="0" fontId="1" fillId="7" borderId="0" xfId="0" applyFont="1" applyFill="1"/>
    <xf numFmtId="0" fontId="0" fillId="7" borderId="0" xfId="0" applyFill="1"/>
    <xf numFmtId="164" fontId="0" fillId="0" borderId="0" xfId="0" applyNumberFormat="1"/>
    <xf numFmtId="0" fontId="1" fillId="8" borderId="0" xfId="0" applyFont="1" applyFill="1" applyAlignment="1">
      <alignment horizontal="center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5AFE-DE3B-4E19-9AC1-745F485DB36E}">
  <dimension ref="A1:B1"/>
  <sheetViews>
    <sheetView workbookViewId="0"/>
  </sheetViews>
  <sheetFormatPr baseColWidth="10" defaultRowHeight="14.4" x14ac:dyDescent="0.3"/>
  <sheetData>
    <row r="1" spans="1:2" x14ac:dyDescent="0.3">
      <c r="A1" s="1" t="s">
        <v>104</v>
      </c>
      <c r="B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81BA-17B9-41C8-85FF-72BEF3D08FC6}">
  <dimension ref="A1:K48"/>
  <sheetViews>
    <sheetView workbookViewId="0"/>
  </sheetViews>
  <sheetFormatPr baseColWidth="10" defaultRowHeight="14.4" x14ac:dyDescent="0.3"/>
  <cols>
    <col min="1" max="1" width="7.77734375" customWidth="1"/>
    <col min="2" max="2" width="16.77734375" customWidth="1"/>
    <col min="3" max="3" width="20.77734375" customWidth="1"/>
    <col min="4" max="4" width="24.77734375" customWidth="1"/>
    <col min="5" max="5" width="72.77734375" customWidth="1"/>
    <col min="6" max="11" width="13.77734375" customWidth="1"/>
  </cols>
  <sheetData>
    <row r="1" spans="1:11" ht="24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">
      <c r="A2" s="5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104</v>
      </c>
      <c r="H2" s="5">
        <v>20</v>
      </c>
      <c r="I2" s="5">
        <v>20</v>
      </c>
      <c r="J2" s="5">
        <v>0</v>
      </c>
      <c r="K2" s="6">
        <f t="shared" ref="K2:K48" si="0">IF(H2=0,0,(H2-J2)/H2)</f>
        <v>1</v>
      </c>
    </row>
    <row r="3" spans="1:11" x14ac:dyDescent="0.3">
      <c r="A3" s="8">
        <v>2</v>
      </c>
      <c r="B3" s="7" t="s">
        <v>12</v>
      </c>
      <c r="C3" s="7" t="s">
        <v>13</v>
      </c>
      <c r="D3" s="7" t="s">
        <v>14</v>
      </c>
      <c r="E3" s="7" t="s">
        <v>17</v>
      </c>
      <c r="F3" s="8" t="s">
        <v>18</v>
      </c>
      <c r="G3" s="8" t="s">
        <v>104</v>
      </c>
      <c r="H3" s="8">
        <v>25</v>
      </c>
      <c r="I3" s="8">
        <v>31</v>
      </c>
      <c r="J3" s="8">
        <v>0</v>
      </c>
      <c r="K3" s="9">
        <f t="shared" si="0"/>
        <v>1</v>
      </c>
    </row>
    <row r="4" spans="1:11" x14ac:dyDescent="0.3">
      <c r="A4" s="5">
        <v>3</v>
      </c>
      <c r="B4" s="4" t="s">
        <v>12</v>
      </c>
      <c r="C4" s="4" t="s">
        <v>13</v>
      </c>
      <c r="D4" s="4" t="s">
        <v>14</v>
      </c>
      <c r="E4" s="4" t="s">
        <v>19</v>
      </c>
      <c r="F4" s="5" t="s">
        <v>20</v>
      </c>
      <c r="G4" s="5" t="s">
        <v>104</v>
      </c>
      <c r="H4" s="5">
        <v>15</v>
      </c>
      <c r="I4" s="5">
        <v>13</v>
      </c>
      <c r="J4" s="5">
        <v>0</v>
      </c>
      <c r="K4" s="6">
        <f t="shared" si="0"/>
        <v>1</v>
      </c>
    </row>
    <row r="5" spans="1:11" x14ac:dyDescent="0.3">
      <c r="A5" s="8">
        <v>4</v>
      </c>
      <c r="B5" s="7" t="s">
        <v>12</v>
      </c>
      <c r="C5" s="7" t="s">
        <v>13</v>
      </c>
      <c r="D5" s="7" t="s">
        <v>21</v>
      </c>
      <c r="E5" s="7" t="s">
        <v>22</v>
      </c>
      <c r="F5" s="8" t="s">
        <v>16</v>
      </c>
      <c r="G5" s="8" t="s">
        <v>104</v>
      </c>
      <c r="H5" s="8">
        <v>15</v>
      </c>
      <c r="I5" s="8">
        <v>19</v>
      </c>
      <c r="J5" s="8">
        <v>10</v>
      </c>
      <c r="K5" s="9">
        <f t="shared" si="0"/>
        <v>0.33333333333333331</v>
      </c>
    </row>
    <row r="6" spans="1:11" x14ac:dyDescent="0.3">
      <c r="A6" s="5">
        <v>5</v>
      </c>
      <c r="B6" s="4" t="s">
        <v>12</v>
      </c>
      <c r="C6" s="4" t="s">
        <v>23</v>
      </c>
      <c r="D6" s="4" t="s">
        <v>24</v>
      </c>
      <c r="E6" s="4" t="s">
        <v>25</v>
      </c>
      <c r="F6" s="5" t="s">
        <v>16</v>
      </c>
      <c r="G6" s="5" t="s">
        <v>104</v>
      </c>
      <c r="H6" s="5">
        <v>30</v>
      </c>
      <c r="I6" s="5">
        <v>26</v>
      </c>
      <c r="J6" s="5">
        <v>0</v>
      </c>
      <c r="K6" s="6">
        <f t="shared" si="0"/>
        <v>1</v>
      </c>
    </row>
    <row r="7" spans="1:11" x14ac:dyDescent="0.3">
      <c r="A7" s="8">
        <v>6</v>
      </c>
      <c r="B7" s="7" t="s">
        <v>12</v>
      </c>
      <c r="C7" s="7" t="s">
        <v>23</v>
      </c>
      <c r="D7" s="7" t="s">
        <v>24</v>
      </c>
      <c r="E7" s="7" t="s">
        <v>26</v>
      </c>
      <c r="F7" s="8" t="s">
        <v>18</v>
      </c>
      <c r="G7" s="8" t="s">
        <v>104</v>
      </c>
      <c r="H7" s="8">
        <v>25</v>
      </c>
      <c r="I7" s="8">
        <v>27</v>
      </c>
      <c r="J7" s="8">
        <v>0</v>
      </c>
      <c r="K7" s="9">
        <f t="shared" si="0"/>
        <v>1</v>
      </c>
    </row>
    <row r="8" spans="1:11" x14ac:dyDescent="0.3">
      <c r="A8" s="5">
        <v>7</v>
      </c>
      <c r="B8" s="4" t="s">
        <v>12</v>
      </c>
      <c r="C8" s="4" t="s">
        <v>23</v>
      </c>
      <c r="D8" s="4" t="s">
        <v>24</v>
      </c>
      <c r="E8" s="4" t="s">
        <v>27</v>
      </c>
      <c r="F8" s="5" t="s">
        <v>20</v>
      </c>
      <c r="G8" s="5" t="s">
        <v>104</v>
      </c>
      <c r="H8" s="5">
        <v>20</v>
      </c>
      <c r="I8" s="5">
        <v>14</v>
      </c>
      <c r="J8" s="5">
        <v>0</v>
      </c>
      <c r="K8" s="6">
        <f t="shared" si="0"/>
        <v>1</v>
      </c>
    </row>
    <row r="9" spans="1:11" x14ac:dyDescent="0.3">
      <c r="A9" s="8">
        <v>8</v>
      </c>
      <c r="B9" s="7" t="s">
        <v>12</v>
      </c>
      <c r="C9" s="7" t="s">
        <v>28</v>
      </c>
      <c r="D9" s="7" t="s">
        <v>29</v>
      </c>
      <c r="E9" s="7" t="s">
        <v>30</v>
      </c>
      <c r="F9" s="8" t="s">
        <v>16</v>
      </c>
      <c r="G9" s="8" t="s">
        <v>104</v>
      </c>
      <c r="H9" s="8">
        <v>25</v>
      </c>
      <c r="I9" s="8">
        <v>25</v>
      </c>
      <c r="J9" s="8">
        <v>0</v>
      </c>
      <c r="K9" s="9">
        <f t="shared" si="0"/>
        <v>1</v>
      </c>
    </row>
    <row r="10" spans="1:11" x14ac:dyDescent="0.3">
      <c r="A10" s="5">
        <v>9</v>
      </c>
      <c r="B10" s="4" t="s">
        <v>12</v>
      </c>
      <c r="C10" s="4" t="s">
        <v>28</v>
      </c>
      <c r="D10" s="4" t="s">
        <v>29</v>
      </c>
      <c r="E10" s="4" t="s">
        <v>31</v>
      </c>
      <c r="F10" s="5" t="s">
        <v>18</v>
      </c>
      <c r="G10" s="5" t="s">
        <v>104</v>
      </c>
      <c r="H10" s="5">
        <v>30</v>
      </c>
      <c r="I10" s="5">
        <v>36</v>
      </c>
      <c r="J10" s="5">
        <v>5</v>
      </c>
      <c r="K10" s="6">
        <f t="shared" si="0"/>
        <v>0.83333333333333337</v>
      </c>
    </row>
    <row r="11" spans="1:11" x14ac:dyDescent="0.3">
      <c r="A11" s="8">
        <v>10</v>
      </c>
      <c r="B11" s="7" t="s">
        <v>12</v>
      </c>
      <c r="C11" s="7" t="s">
        <v>28</v>
      </c>
      <c r="D11" s="7" t="s">
        <v>29</v>
      </c>
      <c r="E11" s="7" t="s">
        <v>32</v>
      </c>
      <c r="F11" s="8" t="s">
        <v>20</v>
      </c>
      <c r="G11" s="8" t="s">
        <v>104</v>
      </c>
      <c r="H11" s="8">
        <v>20</v>
      </c>
      <c r="I11" s="8">
        <v>18</v>
      </c>
      <c r="J11" s="8">
        <v>0</v>
      </c>
      <c r="K11" s="9">
        <f t="shared" si="0"/>
        <v>1</v>
      </c>
    </row>
    <row r="12" spans="1:11" x14ac:dyDescent="0.3">
      <c r="A12" s="5">
        <v>11</v>
      </c>
      <c r="B12" s="4" t="s">
        <v>12</v>
      </c>
      <c r="C12" s="4" t="s">
        <v>33</v>
      </c>
      <c r="D12" s="4" t="s">
        <v>34</v>
      </c>
      <c r="E12" s="4" t="s">
        <v>35</v>
      </c>
      <c r="F12" s="5" t="s">
        <v>16</v>
      </c>
      <c r="G12" s="5" t="s">
        <v>104</v>
      </c>
      <c r="H12" s="5">
        <v>20</v>
      </c>
      <c r="I12" s="5">
        <v>24</v>
      </c>
      <c r="J12" s="5">
        <v>0</v>
      </c>
      <c r="K12" s="6">
        <f t="shared" si="0"/>
        <v>1</v>
      </c>
    </row>
    <row r="13" spans="1:11" x14ac:dyDescent="0.3">
      <c r="A13" s="8">
        <v>12</v>
      </c>
      <c r="B13" s="7" t="s">
        <v>12</v>
      </c>
      <c r="C13" s="7" t="s">
        <v>33</v>
      </c>
      <c r="D13" s="7" t="s">
        <v>34</v>
      </c>
      <c r="E13" s="7" t="s">
        <v>36</v>
      </c>
      <c r="F13" s="8" t="s">
        <v>20</v>
      </c>
      <c r="G13" s="8" t="s">
        <v>104</v>
      </c>
      <c r="H13" s="8">
        <v>15</v>
      </c>
      <c r="I13" s="8">
        <v>11</v>
      </c>
      <c r="J13" s="8">
        <v>0</v>
      </c>
      <c r="K13" s="9">
        <f t="shared" si="0"/>
        <v>1</v>
      </c>
    </row>
    <row r="14" spans="1:11" x14ac:dyDescent="0.3">
      <c r="A14" s="5">
        <v>13</v>
      </c>
      <c r="B14" s="4" t="s">
        <v>12</v>
      </c>
      <c r="C14" s="4" t="s">
        <v>33</v>
      </c>
      <c r="D14" s="4" t="s">
        <v>37</v>
      </c>
      <c r="E14" s="4" t="s">
        <v>38</v>
      </c>
      <c r="F14" s="5" t="s">
        <v>39</v>
      </c>
      <c r="G14" s="5" t="s">
        <v>104</v>
      </c>
      <c r="H14" s="5">
        <v>15</v>
      </c>
      <c r="I14" s="5">
        <v>17</v>
      </c>
      <c r="J14" s="5">
        <v>0</v>
      </c>
      <c r="K14" s="6">
        <f t="shared" si="0"/>
        <v>1</v>
      </c>
    </row>
    <row r="15" spans="1:11" x14ac:dyDescent="0.3">
      <c r="A15" s="8">
        <v>14</v>
      </c>
      <c r="B15" s="7" t="s">
        <v>12</v>
      </c>
      <c r="C15" s="7" t="s">
        <v>40</v>
      </c>
      <c r="D15" s="7" t="s">
        <v>41</v>
      </c>
      <c r="E15" s="7" t="s">
        <v>42</v>
      </c>
      <c r="F15" s="8" t="s">
        <v>16</v>
      </c>
      <c r="G15" s="8" t="s">
        <v>104</v>
      </c>
      <c r="H15" s="8">
        <v>25</v>
      </c>
      <c r="I15" s="8">
        <v>19</v>
      </c>
      <c r="J15" s="8">
        <v>15</v>
      </c>
      <c r="K15" s="9">
        <f t="shared" si="0"/>
        <v>0.4</v>
      </c>
    </row>
    <row r="16" spans="1:11" x14ac:dyDescent="0.3">
      <c r="A16" s="5">
        <v>15</v>
      </c>
      <c r="B16" s="4" t="s">
        <v>12</v>
      </c>
      <c r="C16" s="4" t="s">
        <v>40</v>
      </c>
      <c r="D16" s="4" t="s">
        <v>41</v>
      </c>
      <c r="E16" s="4" t="s">
        <v>43</v>
      </c>
      <c r="F16" s="5" t="s">
        <v>18</v>
      </c>
      <c r="G16" s="5" t="s">
        <v>104</v>
      </c>
      <c r="H16" s="5">
        <v>20</v>
      </c>
      <c r="I16" s="5">
        <v>20</v>
      </c>
      <c r="J16" s="5">
        <v>0</v>
      </c>
      <c r="K16" s="6">
        <f t="shared" si="0"/>
        <v>1</v>
      </c>
    </row>
    <row r="17" spans="1:11" x14ac:dyDescent="0.3">
      <c r="A17" s="8">
        <v>16</v>
      </c>
      <c r="B17" s="7" t="s">
        <v>12</v>
      </c>
      <c r="C17" s="7" t="s">
        <v>40</v>
      </c>
      <c r="D17" s="7" t="s">
        <v>44</v>
      </c>
      <c r="E17" s="7" t="s">
        <v>45</v>
      </c>
      <c r="F17" s="8" t="s">
        <v>18</v>
      </c>
      <c r="G17" s="8" t="s">
        <v>104</v>
      </c>
      <c r="H17" s="8">
        <v>35</v>
      </c>
      <c r="I17" s="8">
        <v>41</v>
      </c>
      <c r="J17" s="8">
        <v>0</v>
      </c>
      <c r="K17" s="9">
        <f t="shared" si="0"/>
        <v>1</v>
      </c>
    </row>
    <row r="18" spans="1:11" x14ac:dyDescent="0.3">
      <c r="A18" s="5">
        <v>17</v>
      </c>
      <c r="B18" s="4" t="s">
        <v>12</v>
      </c>
      <c r="C18" s="4" t="s">
        <v>40</v>
      </c>
      <c r="D18" s="4" t="s">
        <v>44</v>
      </c>
      <c r="E18" s="4" t="s">
        <v>46</v>
      </c>
      <c r="F18" s="5" t="s">
        <v>18</v>
      </c>
      <c r="G18" s="5" t="s">
        <v>104</v>
      </c>
      <c r="H18" s="5">
        <v>15</v>
      </c>
      <c r="I18" s="5">
        <v>13</v>
      </c>
      <c r="J18" s="5">
        <v>0</v>
      </c>
      <c r="K18" s="6">
        <f t="shared" si="0"/>
        <v>1</v>
      </c>
    </row>
    <row r="19" spans="1:11" x14ac:dyDescent="0.3">
      <c r="A19" s="8">
        <v>18</v>
      </c>
      <c r="B19" s="7" t="s">
        <v>12</v>
      </c>
      <c r="C19" s="7" t="s">
        <v>47</v>
      </c>
      <c r="D19" s="7" t="s">
        <v>48</v>
      </c>
      <c r="E19" s="7" t="s">
        <v>49</v>
      </c>
      <c r="F19" s="8" t="s">
        <v>16</v>
      </c>
      <c r="G19" s="8" t="s">
        <v>104</v>
      </c>
      <c r="H19" s="8">
        <v>20</v>
      </c>
      <c r="I19" s="8">
        <v>24</v>
      </c>
      <c r="J19" s="8">
        <v>0</v>
      </c>
      <c r="K19" s="9">
        <f t="shared" si="0"/>
        <v>1</v>
      </c>
    </row>
    <row r="20" spans="1:11" x14ac:dyDescent="0.3">
      <c r="A20" s="5">
        <v>19</v>
      </c>
      <c r="B20" s="4" t="s">
        <v>12</v>
      </c>
      <c r="C20" s="4" t="s">
        <v>47</v>
      </c>
      <c r="D20" s="4" t="s">
        <v>44</v>
      </c>
      <c r="E20" s="4" t="s">
        <v>50</v>
      </c>
      <c r="F20" s="5" t="s">
        <v>18</v>
      </c>
      <c r="G20" s="5" t="s">
        <v>104</v>
      </c>
      <c r="H20" s="5">
        <v>20</v>
      </c>
      <c r="I20" s="5">
        <v>16</v>
      </c>
      <c r="J20" s="5">
        <v>10</v>
      </c>
      <c r="K20" s="6">
        <f t="shared" si="0"/>
        <v>0.5</v>
      </c>
    </row>
    <row r="21" spans="1:11" x14ac:dyDescent="0.3">
      <c r="A21" s="8">
        <v>20</v>
      </c>
      <c r="B21" s="7" t="s">
        <v>12</v>
      </c>
      <c r="C21" s="7" t="s">
        <v>47</v>
      </c>
      <c r="D21" s="7" t="s">
        <v>44</v>
      </c>
      <c r="E21" s="7" t="s">
        <v>51</v>
      </c>
      <c r="F21" s="8" t="s">
        <v>20</v>
      </c>
      <c r="G21" s="8" t="s">
        <v>104</v>
      </c>
      <c r="H21" s="8">
        <v>15</v>
      </c>
      <c r="I21" s="8">
        <v>17</v>
      </c>
      <c r="J21" s="8">
        <v>0</v>
      </c>
      <c r="K21" s="9">
        <f t="shared" si="0"/>
        <v>1</v>
      </c>
    </row>
    <row r="22" spans="1:11" x14ac:dyDescent="0.3">
      <c r="A22" s="5">
        <v>21</v>
      </c>
      <c r="B22" s="4" t="s">
        <v>52</v>
      </c>
      <c r="C22" s="4" t="s">
        <v>53</v>
      </c>
      <c r="D22" s="4" t="s">
        <v>54</v>
      </c>
      <c r="E22" s="4" t="s">
        <v>55</v>
      </c>
      <c r="F22" s="5" t="s">
        <v>16</v>
      </c>
      <c r="G22" s="5" t="s">
        <v>104</v>
      </c>
      <c r="H22" s="5">
        <v>15</v>
      </c>
      <c r="I22" s="5">
        <v>9</v>
      </c>
      <c r="J22" s="5">
        <v>0</v>
      </c>
      <c r="K22" s="6">
        <f t="shared" si="0"/>
        <v>1</v>
      </c>
    </row>
    <row r="23" spans="1:11" x14ac:dyDescent="0.3">
      <c r="A23" s="8">
        <v>22</v>
      </c>
      <c r="B23" s="7" t="s">
        <v>52</v>
      </c>
      <c r="C23" s="7" t="s">
        <v>53</v>
      </c>
      <c r="D23" s="7" t="s">
        <v>56</v>
      </c>
      <c r="E23" s="7" t="s">
        <v>57</v>
      </c>
      <c r="F23" s="8" t="s">
        <v>20</v>
      </c>
      <c r="G23" s="8" t="s">
        <v>104</v>
      </c>
      <c r="H23" s="8">
        <v>15</v>
      </c>
      <c r="I23" s="8">
        <v>15</v>
      </c>
      <c r="J23" s="8">
        <v>0</v>
      </c>
      <c r="K23" s="9">
        <f t="shared" si="0"/>
        <v>1</v>
      </c>
    </row>
    <row r="24" spans="1:11" x14ac:dyDescent="0.3">
      <c r="A24" s="5">
        <v>23</v>
      </c>
      <c r="B24" s="4" t="s">
        <v>52</v>
      </c>
      <c r="C24" s="4" t="s">
        <v>58</v>
      </c>
      <c r="D24" s="4" t="s">
        <v>59</v>
      </c>
      <c r="E24" s="4" t="s">
        <v>60</v>
      </c>
      <c r="F24" s="5" t="s">
        <v>16</v>
      </c>
      <c r="G24" s="5" t="s">
        <v>104</v>
      </c>
      <c r="H24" s="5">
        <v>25</v>
      </c>
      <c r="I24" s="5">
        <v>31</v>
      </c>
      <c r="J24" s="5">
        <v>5</v>
      </c>
      <c r="K24" s="6">
        <f t="shared" si="0"/>
        <v>0.8</v>
      </c>
    </row>
    <row r="25" spans="1:11" x14ac:dyDescent="0.3">
      <c r="A25" s="8">
        <v>24</v>
      </c>
      <c r="B25" s="7" t="s">
        <v>52</v>
      </c>
      <c r="C25" s="7" t="s">
        <v>58</v>
      </c>
      <c r="D25" s="7" t="s">
        <v>59</v>
      </c>
      <c r="E25" s="7" t="s">
        <v>61</v>
      </c>
      <c r="F25" s="8" t="s">
        <v>20</v>
      </c>
      <c r="G25" s="8" t="s">
        <v>104</v>
      </c>
      <c r="H25" s="8">
        <v>20</v>
      </c>
      <c r="I25" s="8">
        <v>18</v>
      </c>
      <c r="J25" s="8">
        <v>0</v>
      </c>
      <c r="K25" s="9">
        <f t="shared" si="0"/>
        <v>1</v>
      </c>
    </row>
    <row r="26" spans="1:11" x14ac:dyDescent="0.3">
      <c r="A26" s="5">
        <v>25</v>
      </c>
      <c r="B26" s="4" t="s">
        <v>52</v>
      </c>
      <c r="C26" s="4" t="s">
        <v>58</v>
      </c>
      <c r="D26" s="4" t="s">
        <v>59</v>
      </c>
      <c r="E26" s="4" t="s">
        <v>62</v>
      </c>
      <c r="F26" s="5" t="s">
        <v>16</v>
      </c>
      <c r="G26" s="5" t="s">
        <v>104</v>
      </c>
      <c r="H26" s="5">
        <v>20</v>
      </c>
      <c r="I26" s="5">
        <v>24</v>
      </c>
      <c r="J26" s="5">
        <v>0</v>
      </c>
      <c r="K26" s="6">
        <f t="shared" si="0"/>
        <v>1</v>
      </c>
    </row>
    <row r="27" spans="1:11" x14ac:dyDescent="0.3">
      <c r="A27" s="8">
        <v>26</v>
      </c>
      <c r="B27" s="7" t="s">
        <v>52</v>
      </c>
      <c r="C27" s="7" t="s">
        <v>58</v>
      </c>
      <c r="D27" s="7" t="s">
        <v>59</v>
      </c>
      <c r="E27" s="7" t="s">
        <v>63</v>
      </c>
      <c r="F27" s="8" t="s">
        <v>16</v>
      </c>
      <c r="G27" s="8" t="s">
        <v>104</v>
      </c>
      <c r="H27" s="8">
        <v>20</v>
      </c>
      <c r="I27" s="8">
        <v>16</v>
      </c>
      <c r="J27" s="8">
        <v>0</v>
      </c>
      <c r="K27" s="9">
        <f t="shared" si="0"/>
        <v>1</v>
      </c>
    </row>
    <row r="28" spans="1:11" x14ac:dyDescent="0.3">
      <c r="A28" s="5">
        <v>27</v>
      </c>
      <c r="B28" s="4" t="s">
        <v>52</v>
      </c>
      <c r="C28" s="4" t="s">
        <v>64</v>
      </c>
      <c r="D28" s="4" t="s">
        <v>65</v>
      </c>
      <c r="E28" s="4" t="s">
        <v>66</v>
      </c>
      <c r="F28" s="5" t="s">
        <v>16</v>
      </c>
      <c r="G28" s="5" t="s">
        <v>104</v>
      </c>
      <c r="H28" s="5">
        <v>25</v>
      </c>
      <c r="I28" s="5">
        <v>27</v>
      </c>
      <c r="J28" s="5">
        <v>20</v>
      </c>
      <c r="K28" s="6">
        <f t="shared" si="0"/>
        <v>0.2</v>
      </c>
    </row>
    <row r="29" spans="1:11" x14ac:dyDescent="0.3">
      <c r="A29" s="8">
        <v>28</v>
      </c>
      <c r="B29" s="7" t="s">
        <v>52</v>
      </c>
      <c r="C29" s="7" t="s">
        <v>64</v>
      </c>
      <c r="D29" s="7" t="s">
        <v>65</v>
      </c>
      <c r="E29" s="7" t="s">
        <v>67</v>
      </c>
      <c r="F29" s="8" t="s">
        <v>18</v>
      </c>
      <c r="G29" s="8" t="s">
        <v>104</v>
      </c>
      <c r="H29" s="8">
        <v>20</v>
      </c>
      <c r="I29" s="8">
        <v>14</v>
      </c>
      <c r="J29" s="8">
        <v>0</v>
      </c>
      <c r="K29" s="9">
        <f t="shared" si="0"/>
        <v>1</v>
      </c>
    </row>
    <row r="30" spans="1:11" x14ac:dyDescent="0.3">
      <c r="A30" s="5">
        <v>29</v>
      </c>
      <c r="B30" s="4" t="s">
        <v>52</v>
      </c>
      <c r="C30" s="4" t="s">
        <v>64</v>
      </c>
      <c r="D30" s="4" t="s">
        <v>65</v>
      </c>
      <c r="E30" s="4" t="s">
        <v>68</v>
      </c>
      <c r="F30" s="5" t="s">
        <v>20</v>
      </c>
      <c r="G30" s="5" t="s">
        <v>104</v>
      </c>
      <c r="H30" s="5">
        <v>10</v>
      </c>
      <c r="I30" s="5">
        <v>10</v>
      </c>
      <c r="J30" s="5">
        <v>0</v>
      </c>
      <c r="K30" s="6">
        <f t="shared" si="0"/>
        <v>1</v>
      </c>
    </row>
    <row r="31" spans="1:11" x14ac:dyDescent="0.3">
      <c r="A31" s="8">
        <v>30</v>
      </c>
      <c r="B31" s="7" t="s">
        <v>52</v>
      </c>
      <c r="C31" s="7" t="s">
        <v>69</v>
      </c>
      <c r="D31" s="7" t="s">
        <v>70</v>
      </c>
      <c r="E31" s="7" t="s">
        <v>71</v>
      </c>
      <c r="F31" s="8" t="s">
        <v>16</v>
      </c>
      <c r="G31" s="8" t="s">
        <v>104</v>
      </c>
      <c r="H31" s="8">
        <v>25</v>
      </c>
      <c r="I31" s="8">
        <v>31</v>
      </c>
      <c r="J31" s="8">
        <v>0</v>
      </c>
      <c r="K31" s="9">
        <f t="shared" si="0"/>
        <v>1</v>
      </c>
    </row>
    <row r="32" spans="1:11" x14ac:dyDescent="0.3">
      <c r="A32" s="5">
        <v>31</v>
      </c>
      <c r="B32" s="4" t="s">
        <v>52</v>
      </c>
      <c r="C32" s="4" t="s">
        <v>69</v>
      </c>
      <c r="D32" s="4" t="s">
        <v>70</v>
      </c>
      <c r="E32" s="4" t="s">
        <v>72</v>
      </c>
      <c r="F32" s="5" t="s">
        <v>18</v>
      </c>
      <c r="G32" s="5" t="s">
        <v>104</v>
      </c>
      <c r="H32" s="5">
        <v>20</v>
      </c>
      <c r="I32" s="5">
        <v>18</v>
      </c>
      <c r="J32" s="5">
        <v>0</v>
      </c>
      <c r="K32" s="6">
        <f t="shared" si="0"/>
        <v>1</v>
      </c>
    </row>
    <row r="33" spans="1:11" x14ac:dyDescent="0.3">
      <c r="A33" s="8">
        <v>32</v>
      </c>
      <c r="B33" s="7" t="s">
        <v>52</v>
      </c>
      <c r="C33" s="7" t="s">
        <v>69</v>
      </c>
      <c r="D33" s="7" t="s">
        <v>70</v>
      </c>
      <c r="E33" s="7" t="s">
        <v>73</v>
      </c>
      <c r="F33" s="8" t="s">
        <v>16</v>
      </c>
      <c r="G33" s="8" t="s">
        <v>104</v>
      </c>
      <c r="H33" s="8">
        <v>25</v>
      </c>
      <c r="I33" s="8">
        <v>29</v>
      </c>
      <c r="J33" s="8">
        <v>10</v>
      </c>
      <c r="K33" s="9">
        <f t="shared" si="0"/>
        <v>0.6</v>
      </c>
    </row>
    <row r="34" spans="1:11" x14ac:dyDescent="0.3">
      <c r="A34" s="5">
        <v>33</v>
      </c>
      <c r="B34" s="4" t="s">
        <v>52</v>
      </c>
      <c r="C34" s="4" t="s">
        <v>69</v>
      </c>
      <c r="D34" s="4" t="s">
        <v>70</v>
      </c>
      <c r="E34" s="4" t="s">
        <v>74</v>
      </c>
      <c r="F34" s="5" t="s">
        <v>20</v>
      </c>
      <c r="G34" s="5" t="s">
        <v>104</v>
      </c>
      <c r="H34" s="5">
        <v>15</v>
      </c>
      <c r="I34" s="5">
        <v>11</v>
      </c>
      <c r="J34" s="5">
        <v>0</v>
      </c>
      <c r="K34" s="6">
        <f t="shared" si="0"/>
        <v>1</v>
      </c>
    </row>
    <row r="35" spans="1:11" x14ac:dyDescent="0.3">
      <c r="A35" s="8">
        <v>34</v>
      </c>
      <c r="B35" s="7" t="s">
        <v>52</v>
      </c>
      <c r="C35" s="7" t="s">
        <v>75</v>
      </c>
      <c r="D35" s="7" t="s">
        <v>76</v>
      </c>
      <c r="E35" s="7" t="s">
        <v>77</v>
      </c>
      <c r="F35" s="8" t="s">
        <v>16</v>
      </c>
      <c r="G35" s="8" t="s">
        <v>104</v>
      </c>
      <c r="H35" s="8">
        <v>30</v>
      </c>
      <c r="I35" s="8">
        <v>32</v>
      </c>
      <c r="J35" s="8">
        <v>0</v>
      </c>
      <c r="K35" s="9">
        <f t="shared" si="0"/>
        <v>1</v>
      </c>
    </row>
    <row r="36" spans="1:11" x14ac:dyDescent="0.3">
      <c r="A36" s="5">
        <v>35</v>
      </c>
      <c r="B36" s="4" t="s">
        <v>52</v>
      </c>
      <c r="C36" s="4" t="s">
        <v>75</v>
      </c>
      <c r="D36" s="4" t="s">
        <v>76</v>
      </c>
      <c r="E36" s="4" t="s">
        <v>78</v>
      </c>
      <c r="F36" s="5" t="s">
        <v>20</v>
      </c>
      <c r="G36" s="5" t="s">
        <v>104</v>
      </c>
      <c r="H36" s="5">
        <v>25</v>
      </c>
      <c r="I36" s="5">
        <v>19</v>
      </c>
      <c r="J36" s="5">
        <v>0</v>
      </c>
      <c r="K36" s="6">
        <f t="shared" si="0"/>
        <v>1</v>
      </c>
    </row>
    <row r="37" spans="1:11" x14ac:dyDescent="0.3">
      <c r="A37" s="8">
        <v>36</v>
      </c>
      <c r="B37" s="7" t="s">
        <v>52</v>
      </c>
      <c r="C37" s="7" t="s">
        <v>75</v>
      </c>
      <c r="D37" s="7" t="s">
        <v>76</v>
      </c>
      <c r="E37" s="7" t="s">
        <v>79</v>
      </c>
      <c r="F37" s="8" t="s">
        <v>18</v>
      </c>
      <c r="G37" s="8" t="s">
        <v>104</v>
      </c>
      <c r="H37" s="8">
        <v>30</v>
      </c>
      <c r="I37" s="8">
        <v>30</v>
      </c>
      <c r="J37" s="8">
        <v>15</v>
      </c>
      <c r="K37" s="9">
        <f t="shared" si="0"/>
        <v>0.5</v>
      </c>
    </row>
    <row r="38" spans="1:11" x14ac:dyDescent="0.3">
      <c r="A38" s="5">
        <v>37</v>
      </c>
      <c r="B38" s="4" t="s">
        <v>52</v>
      </c>
      <c r="C38" s="4" t="s">
        <v>75</v>
      </c>
      <c r="D38" s="4" t="s">
        <v>76</v>
      </c>
      <c r="E38" s="4" t="s">
        <v>80</v>
      </c>
      <c r="F38" s="5" t="s">
        <v>18</v>
      </c>
      <c r="G38" s="5" t="s">
        <v>104</v>
      </c>
      <c r="H38" s="5">
        <v>30</v>
      </c>
      <c r="I38" s="5">
        <v>36</v>
      </c>
      <c r="J38" s="5">
        <v>0</v>
      </c>
      <c r="K38" s="6">
        <f t="shared" si="0"/>
        <v>1</v>
      </c>
    </row>
    <row r="39" spans="1:11" x14ac:dyDescent="0.3">
      <c r="A39" s="8">
        <v>38</v>
      </c>
      <c r="B39" s="7" t="s">
        <v>52</v>
      </c>
      <c r="C39" s="7" t="s">
        <v>75</v>
      </c>
      <c r="D39" s="7" t="s">
        <v>76</v>
      </c>
      <c r="E39" s="7" t="s">
        <v>81</v>
      </c>
      <c r="F39" s="8" t="s">
        <v>18</v>
      </c>
      <c r="G39" s="8" t="s">
        <v>104</v>
      </c>
      <c r="H39" s="8">
        <v>25</v>
      </c>
      <c r="I39" s="8">
        <v>23</v>
      </c>
      <c r="J39" s="8">
        <v>0</v>
      </c>
      <c r="K39" s="9">
        <f t="shared" si="0"/>
        <v>1</v>
      </c>
    </row>
    <row r="40" spans="1:11" x14ac:dyDescent="0.3">
      <c r="A40" s="5">
        <v>39</v>
      </c>
      <c r="B40" s="4" t="s">
        <v>52</v>
      </c>
      <c r="C40" s="4" t="s">
        <v>75</v>
      </c>
      <c r="D40" s="4" t="s">
        <v>76</v>
      </c>
      <c r="E40" s="4" t="s">
        <v>82</v>
      </c>
      <c r="F40" s="5" t="s">
        <v>18</v>
      </c>
      <c r="G40" s="5" t="s">
        <v>104</v>
      </c>
      <c r="H40" s="5">
        <v>35</v>
      </c>
      <c r="I40" s="5">
        <v>39</v>
      </c>
      <c r="J40" s="5">
        <v>5</v>
      </c>
      <c r="K40" s="6">
        <f t="shared" si="0"/>
        <v>0.8571428571428571</v>
      </c>
    </row>
    <row r="41" spans="1:11" x14ac:dyDescent="0.3">
      <c r="A41" s="8">
        <v>40</v>
      </c>
      <c r="B41" s="7" t="s">
        <v>52</v>
      </c>
      <c r="C41" s="7" t="s">
        <v>75</v>
      </c>
      <c r="D41" s="7" t="s">
        <v>76</v>
      </c>
      <c r="E41" s="7" t="s">
        <v>83</v>
      </c>
      <c r="F41" s="8" t="s">
        <v>20</v>
      </c>
      <c r="G41" s="8" t="s">
        <v>104</v>
      </c>
      <c r="H41" s="8">
        <v>20</v>
      </c>
      <c r="I41" s="8">
        <v>16</v>
      </c>
      <c r="J41" s="8">
        <v>0</v>
      </c>
      <c r="K41" s="9">
        <f t="shared" si="0"/>
        <v>1</v>
      </c>
    </row>
    <row r="42" spans="1:11" x14ac:dyDescent="0.3">
      <c r="A42" s="5">
        <v>41</v>
      </c>
      <c r="B42" s="4" t="s">
        <v>52</v>
      </c>
      <c r="C42" s="4" t="s">
        <v>75</v>
      </c>
      <c r="D42" s="4" t="s">
        <v>76</v>
      </c>
      <c r="E42" s="4" t="s">
        <v>84</v>
      </c>
      <c r="F42" s="5" t="s">
        <v>20</v>
      </c>
      <c r="G42" s="5" t="s">
        <v>104</v>
      </c>
      <c r="H42" s="5">
        <v>20</v>
      </c>
      <c r="I42" s="5">
        <v>22</v>
      </c>
      <c r="J42" s="5">
        <v>0</v>
      </c>
      <c r="K42" s="6">
        <f t="shared" si="0"/>
        <v>1</v>
      </c>
    </row>
    <row r="43" spans="1:11" x14ac:dyDescent="0.3">
      <c r="A43" s="8">
        <v>42</v>
      </c>
      <c r="B43" s="7" t="s">
        <v>52</v>
      </c>
      <c r="C43" s="7" t="s">
        <v>75</v>
      </c>
      <c r="D43" s="7" t="s">
        <v>76</v>
      </c>
      <c r="E43" s="7" t="s">
        <v>85</v>
      </c>
      <c r="F43" s="8" t="s">
        <v>20</v>
      </c>
      <c r="G43" s="8" t="s">
        <v>104</v>
      </c>
      <c r="H43" s="8">
        <v>20</v>
      </c>
      <c r="I43" s="8">
        <v>14</v>
      </c>
      <c r="J43" s="8">
        <v>10</v>
      </c>
      <c r="K43" s="9">
        <f t="shared" si="0"/>
        <v>0.5</v>
      </c>
    </row>
    <row r="44" spans="1:11" x14ac:dyDescent="0.3">
      <c r="A44" s="5">
        <v>43</v>
      </c>
      <c r="B44" s="4" t="s">
        <v>52</v>
      </c>
      <c r="C44" s="4" t="s">
        <v>75</v>
      </c>
      <c r="D44" s="4" t="s">
        <v>76</v>
      </c>
      <c r="E44" s="4" t="s">
        <v>86</v>
      </c>
      <c r="F44" s="5" t="s">
        <v>18</v>
      </c>
      <c r="G44" s="5" t="s">
        <v>104</v>
      </c>
      <c r="H44" s="5">
        <v>30</v>
      </c>
      <c r="I44" s="5">
        <v>30</v>
      </c>
      <c r="J44" s="5">
        <v>0</v>
      </c>
      <c r="K44" s="6">
        <f t="shared" si="0"/>
        <v>1</v>
      </c>
    </row>
    <row r="45" spans="1:11" x14ac:dyDescent="0.3">
      <c r="A45" s="8">
        <v>44</v>
      </c>
      <c r="B45" s="7" t="s">
        <v>52</v>
      </c>
      <c r="C45" s="7" t="s">
        <v>75</v>
      </c>
      <c r="D45" s="7" t="s">
        <v>76</v>
      </c>
      <c r="E45" s="7" t="s">
        <v>87</v>
      </c>
      <c r="F45" s="8" t="s">
        <v>20</v>
      </c>
      <c r="G45" s="8" t="s">
        <v>104</v>
      </c>
      <c r="H45" s="8">
        <v>30</v>
      </c>
      <c r="I45" s="8">
        <v>36</v>
      </c>
      <c r="J45" s="8">
        <v>0</v>
      </c>
      <c r="K45" s="9">
        <f t="shared" si="0"/>
        <v>1</v>
      </c>
    </row>
    <row r="46" spans="1:11" x14ac:dyDescent="0.3">
      <c r="A46" s="5">
        <v>45</v>
      </c>
      <c r="B46" s="4" t="s">
        <v>52</v>
      </c>
      <c r="C46" s="4" t="s">
        <v>75</v>
      </c>
      <c r="D46" s="4" t="s">
        <v>76</v>
      </c>
      <c r="E46" s="4" t="s">
        <v>88</v>
      </c>
      <c r="F46" s="5" t="s">
        <v>18</v>
      </c>
      <c r="G46" s="5" t="s">
        <v>104</v>
      </c>
      <c r="H46" s="5">
        <v>30</v>
      </c>
      <c r="I46" s="5">
        <v>28</v>
      </c>
      <c r="J46" s="5">
        <v>15</v>
      </c>
      <c r="K46" s="6">
        <f t="shared" si="0"/>
        <v>0.5</v>
      </c>
    </row>
    <row r="47" spans="1:11" x14ac:dyDescent="0.3">
      <c r="A47" s="8">
        <v>46</v>
      </c>
      <c r="B47" s="7" t="s">
        <v>52</v>
      </c>
      <c r="C47" s="7" t="s">
        <v>75</v>
      </c>
      <c r="D47" s="7" t="s">
        <v>76</v>
      </c>
      <c r="E47" s="7" t="s">
        <v>89</v>
      </c>
      <c r="F47" s="8" t="s">
        <v>18</v>
      </c>
      <c r="G47" s="8" t="s">
        <v>104</v>
      </c>
      <c r="H47" s="8">
        <v>25</v>
      </c>
      <c r="I47" s="8">
        <v>29</v>
      </c>
      <c r="J47" s="8">
        <v>0</v>
      </c>
      <c r="K47" s="9">
        <f t="shared" si="0"/>
        <v>1</v>
      </c>
    </row>
    <row r="48" spans="1:11" x14ac:dyDescent="0.3">
      <c r="A48" s="17" t="s">
        <v>90</v>
      </c>
      <c r="B48" s="17"/>
      <c r="C48" s="17"/>
      <c r="D48" s="17"/>
      <c r="E48" s="17"/>
      <c r="F48" s="17"/>
      <c r="G48" s="17"/>
      <c r="H48" s="10">
        <v>1030</v>
      </c>
      <c r="I48" s="10">
        <v>1038</v>
      </c>
      <c r="J48" s="10">
        <v>120</v>
      </c>
      <c r="K48" s="11">
        <f t="shared" si="0"/>
        <v>0.88349514563106801</v>
      </c>
    </row>
  </sheetData>
  <mergeCells count="1">
    <mergeCell ref="A48:G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4218-8984-4296-B7D4-DC9CBBD72E36}">
  <dimension ref="A2:D12"/>
  <sheetViews>
    <sheetView workbookViewId="0"/>
  </sheetViews>
  <sheetFormatPr baseColWidth="10" defaultRowHeight="14.4" x14ac:dyDescent="0.3"/>
  <cols>
    <col min="1" max="1" width="18.77734375" customWidth="1"/>
    <col min="2" max="2" width="20.77734375" customWidth="1"/>
    <col min="3" max="4" width="22.77734375" customWidth="1"/>
  </cols>
  <sheetData>
    <row r="2" spans="1:4" x14ac:dyDescent="0.3">
      <c r="A2" s="12" t="s">
        <v>7</v>
      </c>
      <c r="B2" s="12" t="s">
        <v>91</v>
      </c>
      <c r="C2" s="12" t="s">
        <v>92</v>
      </c>
      <c r="D2" s="12" t="s">
        <v>93</v>
      </c>
    </row>
    <row r="3" spans="1:4" x14ac:dyDescent="0.3">
      <c r="A3" t="s">
        <v>0</v>
      </c>
      <c r="B3">
        <v>1030</v>
      </c>
      <c r="C3">
        <v>1155</v>
      </c>
      <c r="D3">
        <v>30</v>
      </c>
    </row>
    <row r="4" spans="1:4" x14ac:dyDescent="0.3">
      <c r="A4" s="1" t="s">
        <v>94</v>
      </c>
      <c r="B4" s="1">
        <v>1030</v>
      </c>
      <c r="C4" s="1">
        <v>1155</v>
      </c>
      <c r="D4" s="1">
        <v>30</v>
      </c>
    </row>
    <row r="12" spans="1:4" x14ac:dyDescent="0.3">
      <c r="A12" s="13" t="s">
        <v>11</v>
      </c>
      <c r="B12" s="1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427E-F8E0-4BE6-BB04-EFD6DDC6EA0F}">
  <dimension ref="A1:E3"/>
  <sheetViews>
    <sheetView workbookViewId="0"/>
  </sheetViews>
  <sheetFormatPr baseColWidth="10" defaultRowHeight="14.4" x14ac:dyDescent="0.3"/>
  <cols>
    <col min="1" max="5" width="20.77734375" customWidth="1"/>
  </cols>
  <sheetData>
    <row r="1" spans="1:5" x14ac:dyDescent="0.3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</row>
    <row r="2" spans="1:5" x14ac:dyDescent="0.3">
      <c r="A2">
        <v>1030</v>
      </c>
      <c r="B2">
        <v>1155</v>
      </c>
      <c r="C2">
        <v>30</v>
      </c>
      <c r="D2" s="15">
        <v>0.970873786407767</v>
      </c>
      <c r="E2" s="3">
        <v>2.9126213592233011E-2</v>
      </c>
    </row>
    <row r="3" spans="1:5" x14ac:dyDescent="0.3">
      <c r="C3">
        <f>C2/60</f>
        <v>0.5</v>
      </c>
      <c r="D3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26D2-30FE-4833-AF82-5D689985A13A}">
  <dimension ref="A1:D48"/>
  <sheetViews>
    <sheetView tabSelected="1" workbookViewId="0"/>
  </sheetViews>
  <sheetFormatPr baseColWidth="10" defaultRowHeight="14.4" x14ac:dyDescent="0.3"/>
  <cols>
    <col min="1" max="1" width="8.77734375" customWidth="1"/>
    <col min="2" max="4" width="10.77734375" customWidth="1"/>
  </cols>
  <sheetData>
    <row r="1" spans="1:4" x14ac:dyDescent="0.3">
      <c r="A1" s="2" t="s">
        <v>1</v>
      </c>
      <c r="B1" s="2" t="s">
        <v>90</v>
      </c>
      <c r="C1" s="2" t="s">
        <v>102</v>
      </c>
      <c r="D1" s="2" t="s">
        <v>103</v>
      </c>
    </row>
    <row r="2" spans="1:4" x14ac:dyDescent="0.3">
      <c r="A2" s="5">
        <v>1</v>
      </c>
      <c r="B2" s="16">
        <v>20</v>
      </c>
      <c r="C2" s="5">
        <v>20</v>
      </c>
      <c r="D2" s="5">
        <v>0</v>
      </c>
    </row>
    <row r="3" spans="1:4" x14ac:dyDescent="0.3">
      <c r="A3" s="8">
        <v>2</v>
      </c>
      <c r="B3" s="16">
        <v>31</v>
      </c>
      <c r="C3" s="8">
        <v>31</v>
      </c>
      <c r="D3" s="8">
        <v>0</v>
      </c>
    </row>
    <row r="4" spans="1:4" x14ac:dyDescent="0.3">
      <c r="A4" s="5">
        <v>3</v>
      </c>
      <c r="B4" s="16">
        <v>13</v>
      </c>
      <c r="C4" s="5">
        <v>13</v>
      </c>
      <c r="D4" s="5">
        <v>0</v>
      </c>
    </row>
    <row r="5" spans="1:4" x14ac:dyDescent="0.3">
      <c r="A5" s="8">
        <v>4</v>
      </c>
      <c r="B5" s="16">
        <v>19</v>
      </c>
      <c r="C5" s="8">
        <v>19</v>
      </c>
      <c r="D5" s="8">
        <v>0</v>
      </c>
    </row>
    <row r="6" spans="1:4" x14ac:dyDescent="0.3">
      <c r="A6" s="5">
        <v>5</v>
      </c>
      <c r="B6" s="16">
        <v>26</v>
      </c>
      <c r="C6" s="5">
        <v>26</v>
      </c>
      <c r="D6" s="5">
        <v>0</v>
      </c>
    </row>
    <row r="7" spans="1:4" x14ac:dyDescent="0.3">
      <c r="A7" s="8">
        <v>6</v>
      </c>
      <c r="B7" s="16">
        <v>27</v>
      </c>
      <c r="C7" s="8">
        <v>27</v>
      </c>
      <c r="D7" s="8">
        <v>0</v>
      </c>
    </row>
    <row r="8" spans="1:4" x14ac:dyDescent="0.3">
      <c r="A8" s="5">
        <v>7</v>
      </c>
      <c r="B8" s="16">
        <v>14</v>
      </c>
      <c r="C8" s="5">
        <v>14</v>
      </c>
      <c r="D8" s="5">
        <v>0</v>
      </c>
    </row>
    <row r="9" spans="1:4" x14ac:dyDescent="0.3">
      <c r="A9" s="8">
        <v>8</v>
      </c>
      <c r="B9" s="16">
        <v>25</v>
      </c>
      <c r="C9" s="8">
        <v>25</v>
      </c>
      <c r="D9" s="8">
        <v>0</v>
      </c>
    </row>
    <row r="10" spans="1:4" x14ac:dyDescent="0.3">
      <c r="A10" s="5">
        <v>9</v>
      </c>
      <c r="B10" s="16">
        <v>36</v>
      </c>
      <c r="C10" s="5">
        <v>36</v>
      </c>
      <c r="D10" s="5">
        <v>0</v>
      </c>
    </row>
    <row r="11" spans="1:4" x14ac:dyDescent="0.3">
      <c r="A11" s="8">
        <v>10</v>
      </c>
      <c r="B11" s="16">
        <v>18</v>
      </c>
      <c r="C11" s="8">
        <v>18</v>
      </c>
      <c r="D11" s="8">
        <v>0</v>
      </c>
    </row>
    <row r="12" spans="1:4" x14ac:dyDescent="0.3">
      <c r="A12" s="5">
        <v>11</v>
      </c>
      <c r="B12" s="16">
        <v>24</v>
      </c>
      <c r="C12" s="5">
        <v>24</v>
      </c>
      <c r="D12" s="5">
        <v>0</v>
      </c>
    </row>
    <row r="13" spans="1:4" x14ac:dyDescent="0.3">
      <c r="A13" s="8">
        <v>12</v>
      </c>
      <c r="B13" s="16">
        <v>11</v>
      </c>
      <c r="C13" s="8">
        <v>11</v>
      </c>
      <c r="D13" s="8">
        <v>0</v>
      </c>
    </row>
    <row r="14" spans="1:4" x14ac:dyDescent="0.3">
      <c r="A14" s="5">
        <v>13</v>
      </c>
      <c r="B14" s="16">
        <v>17</v>
      </c>
      <c r="C14" s="5">
        <v>17</v>
      </c>
      <c r="D14" s="5">
        <v>0</v>
      </c>
    </row>
    <row r="15" spans="1:4" x14ac:dyDescent="0.3">
      <c r="A15" s="8">
        <v>14</v>
      </c>
      <c r="B15" s="16">
        <v>19</v>
      </c>
      <c r="C15" s="8">
        <v>19</v>
      </c>
      <c r="D15" s="8">
        <v>0</v>
      </c>
    </row>
    <row r="16" spans="1:4" x14ac:dyDescent="0.3">
      <c r="A16" s="5">
        <v>15</v>
      </c>
      <c r="B16" s="16">
        <v>20</v>
      </c>
      <c r="C16" s="5">
        <v>20</v>
      </c>
      <c r="D16" s="5">
        <v>0</v>
      </c>
    </row>
    <row r="17" spans="1:4" x14ac:dyDescent="0.3">
      <c r="A17" s="8">
        <v>16</v>
      </c>
      <c r="B17" s="16">
        <v>41</v>
      </c>
      <c r="C17" s="8">
        <v>41</v>
      </c>
      <c r="D17" s="8">
        <v>0</v>
      </c>
    </row>
    <row r="18" spans="1:4" x14ac:dyDescent="0.3">
      <c r="A18" s="5">
        <v>17</v>
      </c>
      <c r="B18" s="16">
        <v>13</v>
      </c>
      <c r="C18" s="5">
        <v>13</v>
      </c>
      <c r="D18" s="5">
        <v>0</v>
      </c>
    </row>
    <row r="19" spans="1:4" x14ac:dyDescent="0.3">
      <c r="A19" s="8">
        <v>18</v>
      </c>
      <c r="B19" s="16">
        <v>24</v>
      </c>
      <c r="C19" s="8">
        <v>24</v>
      </c>
      <c r="D19" s="8">
        <v>0</v>
      </c>
    </row>
    <row r="20" spans="1:4" x14ac:dyDescent="0.3">
      <c r="A20" s="5">
        <v>19</v>
      </c>
      <c r="B20" s="16">
        <v>16</v>
      </c>
      <c r="C20" s="5">
        <v>16</v>
      </c>
      <c r="D20" s="5">
        <v>0</v>
      </c>
    </row>
    <row r="21" spans="1:4" x14ac:dyDescent="0.3">
      <c r="A21" s="8">
        <v>20</v>
      </c>
      <c r="B21" s="16">
        <v>17</v>
      </c>
      <c r="C21" s="8">
        <v>17</v>
      </c>
      <c r="D21" s="8">
        <v>0</v>
      </c>
    </row>
    <row r="22" spans="1:4" x14ac:dyDescent="0.3">
      <c r="A22" s="5">
        <v>21</v>
      </c>
      <c r="B22" s="16">
        <v>9</v>
      </c>
      <c r="C22" s="5">
        <v>9</v>
      </c>
      <c r="D22" s="5">
        <v>0</v>
      </c>
    </row>
    <row r="23" spans="1:4" x14ac:dyDescent="0.3">
      <c r="A23" s="8">
        <v>22</v>
      </c>
      <c r="B23" s="16">
        <v>15</v>
      </c>
      <c r="C23" s="8">
        <v>15</v>
      </c>
      <c r="D23" s="8">
        <v>0</v>
      </c>
    </row>
    <row r="24" spans="1:4" x14ac:dyDescent="0.3">
      <c r="A24" s="5">
        <v>23</v>
      </c>
      <c r="B24" s="16">
        <v>31</v>
      </c>
      <c r="C24" s="5">
        <v>31</v>
      </c>
      <c r="D24" s="5">
        <v>0</v>
      </c>
    </row>
    <row r="25" spans="1:4" x14ac:dyDescent="0.3">
      <c r="A25" s="8">
        <v>24</v>
      </c>
      <c r="B25" s="16">
        <v>18</v>
      </c>
      <c r="C25" s="8">
        <v>0</v>
      </c>
      <c r="D25" s="8">
        <v>18</v>
      </c>
    </row>
    <row r="26" spans="1:4" x14ac:dyDescent="0.3">
      <c r="A26" s="5">
        <v>25</v>
      </c>
      <c r="B26" s="16">
        <v>24</v>
      </c>
      <c r="C26" s="5">
        <v>0</v>
      </c>
      <c r="D26" s="5">
        <v>24</v>
      </c>
    </row>
    <row r="27" spans="1:4" x14ac:dyDescent="0.3">
      <c r="A27" s="8">
        <v>26</v>
      </c>
      <c r="B27" s="16">
        <v>16</v>
      </c>
      <c r="C27" s="8">
        <v>0</v>
      </c>
      <c r="D27" s="8">
        <v>16</v>
      </c>
    </row>
    <row r="28" spans="1:4" x14ac:dyDescent="0.3">
      <c r="A28" s="5">
        <v>27</v>
      </c>
      <c r="B28" s="16">
        <v>27</v>
      </c>
      <c r="C28" s="5">
        <v>0</v>
      </c>
      <c r="D28" s="5">
        <v>27</v>
      </c>
    </row>
    <row r="29" spans="1:4" x14ac:dyDescent="0.3">
      <c r="A29" s="8">
        <v>28</v>
      </c>
      <c r="B29" s="16">
        <v>14</v>
      </c>
      <c r="C29" s="8">
        <v>0</v>
      </c>
      <c r="D29" s="8">
        <v>14</v>
      </c>
    </row>
    <row r="30" spans="1:4" x14ac:dyDescent="0.3">
      <c r="A30" s="5">
        <v>29</v>
      </c>
      <c r="B30" s="16">
        <v>10</v>
      </c>
      <c r="C30" s="5">
        <v>0</v>
      </c>
      <c r="D30" s="5">
        <v>10</v>
      </c>
    </row>
    <row r="31" spans="1:4" x14ac:dyDescent="0.3">
      <c r="A31" s="8">
        <v>30</v>
      </c>
      <c r="B31" s="16">
        <v>31</v>
      </c>
      <c r="C31" s="8">
        <v>0</v>
      </c>
      <c r="D31" s="8">
        <v>31</v>
      </c>
    </row>
    <row r="32" spans="1:4" x14ac:dyDescent="0.3">
      <c r="A32" s="5">
        <v>31</v>
      </c>
      <c r="B32" s="16">
        <v>18</v>
      </c>
      <c r="C32" s="5">
        <v>0</v>
      </c>
      <c r="D32" s="5">
        <v>18</v>
      </c>
    </row>
    <row r="33" spans="1:4" x14ac:dyDescent="0.3">
      <c r="A33" s="8">
        <v>32</v>
      </c>
      <c r="B33" s="16">
        <v>29</v>
      </c>
      <c r="C33" s="8">
        <v>0</v>
      </c>
      <c r="D33" s="8">
        <v>29</v>
      </c>
    </row>
    <row r="34" spans="1:4" x14ac:dyDescent="0.3">
      <c r="A34" s="5">
        <v>33</v>
      </c>
      <c r="B34" s="16">
        <v>11</v>
      </c>
      <c r="C34" s="5">
        <v>0</v>
      </c>
      <c r="D34" s="5">
        <v>11</v>
      </c>
    </row>
    <row r="35" spans="1:4" x14ac:dyDescent="0.3">
      <c r="A35" s="8">
        <v>34</v>
      </c>
      <c r="B35" s="16">
        <v>32</v>
      </c>
      <c r="C35" s="8">
        <v>0</v>
      </c>
      <c r="D35" s="8">
        <v>32</v>
      </c>
    </row>
    <row r="36" spans="1:4" x14ac:dyDescent="0.3">
      <c r="A36" s="5">
        <v>35</v>
      </c>
      <c r="B36" s="16">
        <v>19</v>
      </c>
      <c r="C36" s="5">
        <v>0</v>
      </c>
      <c r="D36" s="5">
        <v>19</v>
      </c>
    </row>
    <row r="37" spans="1:4" x14ac:dyDescent="0.3">
      <c r="A37" s="8">
        <v>36</v>
      </c>
      <c r="B37" s="16">
        <v>30</v>
      </c>
      <c r="C37" s="8">
        <v>0</v>
      </c>
      <c r="D37" s="8">
        <v>30</v>
      </c>
    </row>
    <row r="38" spans="1:4" x14ac:dyDescent="0.3">
      <c r="A38" s="5">
        <v>37</v>
      </c>
      <c r="B38" s="16">
        <v>36</v>
      </c>
      <c r="C38" s="5">
        <v>0</v>
      </c>
      <c r="D38" s="5">
        <v>36</v>
      </c>
    </row>
    <row r="39" spans="1:4" x14ac:dyDescent="0.3">
      <c r="A39" s="8">
        <v>38</v>
      </c>
      <c r="B39" s="16">
        <v>23</v>
      </c>
      <c r="C39" s="8">
        <v>0</v>
      </c>
      <c r="D39" s="8">
        <v>23</v>
      </c>
    </row>
    <row r="40" spans="1:4" x14ac:dyDescent="0.3">
      <c r="A40" s="5">
        <v>39</v>
      </c>
      <c r="B40" s="16">
        <v>39</v>
      </c>
      <c r="C40" s="5">
        <v>0</v>
      </c>
      <c r="D40" s="5">
        <v>39</v>
      </c>
    </row>
    <row r="41" spans="1:4" x14ac:dyDescent="0.3">
      <c r="A41" s="8">
        <v>40</v>
      </c>
      <c r="B41" s="16">
        <v>16</v>
      </c>
      <c r="C41" s="8">
        <v>0</v>
      </c>
      <c r="D41" s="8">
        <v>16</v>
      </c>
    </row>
    <row r="42" spans="1:4" x14ac:dyDescent="0.3">
      <c r="A42" s="5">
        <v>41</v>
      </c>
      <c r="B42" s="16">
        <v>22</v>
      </c>
      <c r="C42" s="5">
        <v>0</v>
      </c>
      <c r="D42" s="5">
        <v>22</v>
      </c>
    </row>
    <row r="43" spans="1:4" x14ac:dyDescent="0.3">
      <c r="A43" s="8">
        <v>42</v>
      </c>
      <c r="B43" s="16">
        <v>14</v>
      </c>
      <c r="C43" s="8">
        <v>0</v>
      </c>
      <c r="D43" s="8">
        <v>14</v>
      </c>
    </row>
    <row r="44" spans="1:4" x14ac:dyDescent="0.3">
      <c r="A44" s="5">
        <v>43</v>
      </c>
      <c r="B44" s="16">
        <v>30</v>
      </c>
      <c r="C44" s="5">
        <v>0</v>
      </c>
      <c r="D44" s="5">
        <v>30</v>
      </c>
    </row>
    <row r="45" spans="1:4" x14ac:dyDescent="0.3">
      <c r="A45" s="8">
        <v>44</v>
      </c>
      <c r="B45" s="16">
        <v>36</v>
      </c>
      <c r="C45" s="8">
        <v>0</v>
      </c>
      <c r="D45" s="8">
        <v>36</v>
      </c>
    </row>
    <row r="46" spans="1:4" x14ac:dyDescent="0.3">
      <c r="A46" s="5">
        <v>45</v>
      </c>
      <c r="B46" s="16">
        <v>28</v>
      </c>
      <c r="C46" s="5">
        <v>0</v>
      </c>
      <c r="D46" s="5">
        <v>28</v>
      </c>
    </row>
    <row r="47" spans="1:4" x14ac:dyDescent="0.3">
      <c r="A47" s="8">
        <v>46</v>
      </c>
      <c r="B47" s="16">
        <v>29</v>
      </c>
      <c r="C47" s="8">
        <v>0</v>
      </c>
      <c r="D47" s="8">
        <v>29</v>
      </c>
    </row>
    <row r="48" spans="1:4" x14ac:dyDescent="0.3">
      <c r="B48">
        <v>1038</v>
      </c>
      <c r="C48">
        <v>486</v>
      </c>
      <c r="D48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Fanilo Randrianasolo</dc:creator>
  <cp:lastModifiedBy>Fanilo Randrianasolo</cp:lastModifiedBy>
  <dcterms:created xsi:type="dcterms:W3CDTF">2026-05-17T20:17:14Z</dcterms:created>
  <dcterms:modified xsi:type="dcterms:W3CDTF">2026-05-18T05:21:44Z</dcterms:modified>
</cp:coreProperties>
</file>